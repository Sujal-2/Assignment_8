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7ce079da9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34b24ccae634450d"/>
    <x:sheet xmlns:r="http://schemas.openxmlformats.org/officeDocument/2006/relationships" name="Traceability" sheetId="2" r:id="R5b0822cb3f1d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34A40"/>
      <x:name val="Carlito"/>
    </x:font>
    <x:font>
      <x:b/>
      <x:sz val="11"/>
      <x:color rgb="FFFFFFFF"/>
      <x:name val="Carlito"/>
    </x:font>
    <x:font>
      <x:sz val="9"/>
      <x:color rgb="FF29362F"/>
      <x:name val="Carlito"/>
    </x:font>
    <x:font>
      <x:b/>
      <x:sz val="11"/>
      <x:color rgb="FF1763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6D5A"/>
      </x:patternFill>
    </x:fill>
    <x:fill>
      <x:patternFill patternType="solid">
        <x:fgColor rgb="FFEAF4F0"/>
      </x:patternFill>
    </x:fill>
    <x:fill>
      <x:patternFill patternType="solid">
        <x:fgColor rgb="FF263630"/>
      </x:patternFill>
    </x:fill>
    <x:fill>
      <x:patternFill patternType="solid">
        <x:fgColor rgb="FFFFF9E8"/>
      </x:patternFill>
    </x:fill>
    <x:fill>
      <x:patternFill patternType="solid">
        <x:fgColor rgb="FFDFF2E9"/>
      </x:patternFill>
    </x:fill>
  </x:fills>
  <x:borders count="4">
    <x:border/>
    <x:border>
      <x:bottom style="thin">
        <x:color rgb="FFE2E8E4"/>
      </x:bottom>
    </x:border>
    <x:border>
      <x:top style="thin">
        <x:color rgb="FFE2E8E4"/>
      </x:top>
      <x:bottom style="thin">
        <x:color rgb="FFE2E8E4"/>
      </x:bottom>
    </x:border>
    <x:border>
      <x:top style="thin">
        <x:color rgb="FFE2E8E4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7634F"/>
      </x:font>
      <x:fill>
        <x:patternFill patternType="solid">
          <x:bgColor rgb="FFDFF2E9"/>
        </x:patternFill>
      </x:fill>
    </x:dxf>
    <x:dxf>
      <x:font>
        <x:b/>
        <x:color rgb="FFA8382A"/>
      </x:font>
      <x:fill>
        <x:patternFill patternType="solid">
          <x:bgColor rgb="FFFCE4E1"/>
        </x:patternFill>
      </x:fill>
    </x:dxf>
    <x:dxf>
      <x:font>
        <x:color rgb="FF9A6119"/>
      </x:font>
      <x:fill>
        <x:patternFill patternType="solid">
          <x:bgColor rgb="FFFFF1D8"/>
        </x:patternFill>
      </x:fill>
    </x:dxf>
    <x:dxf>
      <x:font>
        <x:b/>
        <x:color rgb="FFA8382A"/>
      </x:font>
      <x:fill>
        <x:patternFill patternType="solid">
          <x:bgColor rgb="FFFC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8414cbb8a4e35" /><Relationship Type="http://schemas.openxmlformats.org/officeDocument/2006/relationships/theme" Target="/xl/theme/theme1.xml" Id="Re12e8d9789c049eb" /><Relationship Type="http://schemas.openxmlformats.org/officeDocument/2006/relationships/sharedStrings" Target="/xl/sharedStrings.xml" Id="Rd135810189144404" /><Relationship Type="http://schemas.openxmlformats.org/officeDocument/2006/relationships/worksheet" Target="/xl/worksheets/sheet1.xml" Id="R34b24ccae634450d" /><Relationship Type="http://schemas.openxmlformats.org/officeDocument/2006/relationships/worksheet" Target="/xl/worksheets/sheet2.xml" Id="R5b0822cb3f1d48a1" /></Relationships>
</file>

<file path=xl/tables/table1.xml><?xml version="1.0" encoding="utf-8"?>
<x:table xmlns:x="http://schemas.openxmlformats.org/spreadsheetml/2006/main" id="1" name="MediStockTestMatrix" displayName="MediStockTestMatrix" ref="A5:O25" headerRowCount="1" totalsRowCount="0" totalsRowShown="0">
  <x:tableColumns count="15">
    <x:tableColumn id="1" name="Test ID"/>
    <x:tableColumn id="2" name="Requirement IDs"/>
    <x:tableColumn id="3" name="Level"/>
    <x:tableColumn id="4" name="Feature"/>
    <x:tableColumn id="5" name="Test objective"/>
    <x:tableColumn id="6" name="Preconditions"/>
    <x:tableColumn id="7" name="Inputs / steps"/>
    <x:tableColumn id="8" name="Expected output"/>
    <x:tableColumn id="9" name="Actual output"/>
    <x:tableColumn id="10" name="Status"/>
    <x:tableColumn id="11" name="Priority"/>
    <x:tableColumn id="12" name="Executed by"/>
    <x:tableColumn id="13" name="Execution date"/>
    <x:tableColumn id="14" name="Defect ID"/>
    <x:tableColumn id="15" name="Evidence lin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e7358c47b041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3" hidden="0" customWidth="1"/>
    <x:col min="4" max="4" width="18" hidden="0" customWidth="1"/>
    <x:col min="5" max="5" width="28" hidden="0" customWidth="1"/>
    <x:col min="6" max="6" width="26" hidden="0" customWidth="1"/>
    <x:col min="7" max="7" width="32" hidden="0" customWidth="1"/>
    <x:col min="8" max="8" width="34" hidden="0" customWidth="1"/>
    <x:col min="9" max="9" width="24" hidden="0" customWidth="1"/>
    <x:col min="10" max="10" width="13" hidden="0" customWidth="1"/>
    <x:col min="11" max="11" width="13" hidden="0" customWidth="1"/>
    <x:col min="12" max="12" width="17" hidden="0" customWidth="1"/>
    <x:col min="13" max="13" width="16" hidden="0" customWidth="1"/>
    <x:col min="14" max="14" width="14" hidden="0" customWidth="1"/>
    <x:col min="15" max="15" width="24" hidden="0" customWidth="1"/>
  </x:cols>
  <x:sheetData>
    <x:row r="1" ht="34" customHeight="1">
      <x:c r="A1" s="5" t="str">
        <x:v>MediStock Operations — Test Execution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8" t="str">
        <x:v>Total planned tests</x:v>
      </x:c>
      <x:c r="B2" s="8"/>
      <x:c r="C2" s="8" t="n">
        <x:f>COUNTA(A6:A25)</x:f>
        <x:v>20</x:v>
      </x:c>
      <x:c r="D2" s="8"/>
      <x:c r="E2" s="8" t="str">
        <x:v>Critical tests</x:v>
      </x:c>
      <x:c r="F2" s="8"/>
      <x:c r="G2" s="8" t="n">
        <x:f>COUNTIF(K6:K25,"Critical")</x:f>
        <x:v>10</x:v>
      </x:c>
      <x:c r="H2" s="8"/>
      <x:c r="I2" s="8" t="str">
        <x:v>Execution progress</x:v>
      </x:c>
      <x:c r="J2" s="8"/>
      <x:c r="K2" s="9" t="n">
        <x:f>COUNTIF(J6:J25,"Pass")/COUNTA(A6:A25)</x:f>
        <x:v>0</x:v>
      </x:c>
      <x:c r="L2" s="8"/>
      <x:c r="M2" s="8" t="str">
        <x:v>Legend: red = critical; amber = not run; green = pass</x:v>
      </x:c>
      <x:c r="N2" s="8"/>
      <x:c r="O2" s="8"/>
    </x:row>
    <x:row r="5" ht="34" customHeight="1">
      <x:c r="A5" s="12" t="str">
        <x:v>Test ID</x:v>
      </x:c>
      <x:c r="B5" s="12" t="str">
        <x:v>Requirement IDs</x:v>
      </x:c>
      <x:c r="C5" s="12" t="str">
        <x:v>Level</x:v>
      </x:c>
      <x:c r="D5" s="12" t="str">
        <x:v>Feature</x:v>
      </x:c>
      <x:c r="E5" s="12" t="str">
        <x:v>Test objective</x:v>
      </x:c>
      <x:c r="F5" s="12" t="str">
        <x:v>Preconditions</x:v>
      </x:c>
      <x:c r="G5" s="12" t="str">
        <x:v>Inputs / steps</x:v>
      </x:c>
      <x:c r="H5" s="12" t="str">
        <x:v>Expected output</x:v>
      </x:c>
      <x:c r="I5" s="12" t="str">
        <x:v>Actual output</x:v>
      </x:c>
      <x:c r="J5" s="12" t="str">
        <x:v>Status</x:v>
      </x:c>
      <x:c r="K5" s="12" t="str">
        <x:v>Priority</x:v>
      </x:c>
      <x:c r="L5" s="12" t="str">
        <x:v>Executed by</x:v>
      </x:c>
      <x:c r="M5" s="12" t="str">
        <x:v>Execution date</x:v>
      </x:c>
      <x:c r="N5" s="12" t="str">
        <x:v>Defect ID</x:v>
      </x:c>
      <x:c r="O5" s="12" t="str">
        <x:v>Evidence link</x:v>
      </x:c>
    </x:row>
    <x:row r="6" ht="42" customHeight="1">
      <x:c r="A6" s="17" t="str">
        <x:v>TC-UNIT-01</x:v>
      </x:c>
      <x:c r="B6" s="17" t="str">
        <x:v>FR-07</x:v>
      </x:c>
      <x:c r="C6" s="17" t="str">
        <x:v>Unit</x:v>
      </x:c>
      <x:c r="D6" s="17" t="str">
        <x:v>Sale validation</x:v>
      </x:c>
      <x:c r="E6" s="17" t="str">
        <x:v>Reject a zero sale quantity</x:v>
      </x:c>
      <x:c r="F6" s="17" t="str">
        <x:v>Sale form available</x:v>
      </x:c>
      <x:c r="G6" s="17" t="str">
        <x:v>Quantity = 0</x:v>
      </x:c>
      <x:c r="H6" s="17" t="str">
        <x:v>Validation rejects input; no stock or invoice change</x:v>
      </x:c>
      <x:c r="I6" s="20" t="str">
        <x:v>Not executed</x:v>
      </x:c>
      <x:c r="J6" s="17" t="str">
        <x:v>Not Run</x:v>
      </x:c>
      <x:c r="K6" s="17" t="str">
        <x:v>Critical</x:v>
      </x:c>
      <x:c r="L6" s="20" t="str"/>
      <x:c r="M6" s="20" t="str"/>
      <x:c r="N6" s="20" t="str"/>
      <x:c r="O6" s="20" t="str"/>
    </x:row>
    <x:row r="7" ht="42" customHeight="1">
      <x:c r="A7" s="18" t="str">
        <x:v>TC-UNIT-02</x:v>
      </x:c>
      <x:c r="B7" s="18" t="str">
        <x:v>FR-07</x:v>
      </x:c>
      <x:c r="C7" s="18" t="str">
        <x:v>Unit</x:v>
      </x:c>
      <x:c r="D7" s="18" t="str">
        <x:v>Sale validation</x:v>
      </x:c>
      <x:c r="E7" s="18" t="str">
        <x:v>Reject quantity above available stock</x:v>
      </x:c>
      <x:c r="F7" s="18" t="str">
        <x:v>MED-003 has 12 units</x:v>
      </x:c>
      <x:c r="G7" s="18" t="str">
        <x:v>Quantity = 13</x:v>
      </x:c>
      <x:c r="H7" s="18" t="str">
        <x:v>Clear insufficient-stock error; no write occurs</x:v>
      </x:c>
      <x:c r="I7" s="21" t="str">
        <x:v>Not executed</x:v>
      </x:c>
      <x:c r="J7" s="18" t="str">
        <x:v>Not Run</x:v>
      </x:c>
      <x:c r="K7" s="18" t="str">
        <x:v>Critical</x:v>
      </x:c>
      <x:c r="L7" s="21" t="str"/>
      <x:c r="M7" s="21" t="str"/>
      <x:c r="N7" s="21" t="str"/>
      <x:c r="O7" s="21" t="str"/>
    </x:row>
    <x:row r="8" ht="42" customHeight="1">
      <x:c r="A8" s="18" t="str">
        <x:v>TC-UNIT-03</x:v>
      </x:c>
      <x:c r="B8" s="18" t="str">
        <x:v>FR-02</x:v>
      </x:c>
      <x:c r="C8" s="18" t="str">
        <x:v>Unit</x:v>
      </x:c>
      <x:c r="D8" s="18" t="str">
        <x:v>Product rules</x:v>
      </x:c>
      <x:c r="E8" s="18" t="str">
        <x:v>Reject duplicate SKU</x:v>
      </x:c>
      <x:c r="F8" s="18" t="str">
        <x:v>MED-001 exists</x:v>
      </x:c>
      <x:c r="G8" s="18" t="str">
        <x:v>Create another MED-001</x:v>
      </x:c>
      <x:c r="H8" s="18" t="str">
        <x:v>Unique constraint/validation rejects duplicate</x:v>
      </x:c>
      <x:c r="I8" s="21" t="str">
        <x:v>Not executed</x:v>
      </x:c>
      <x:c r="J8" s="18" t="str">
        <x:v>Not Run</x:v>
      </x:c>
      <x:c r="K8" s="18" t="str">
        <x:v>High</x:v>
      </x:c>
      <x:c r="L8" s="21" t="str"/>
      <x:c r="M8" s="21" t="str"/>
      <x:c r="N8" s="21" t="str"/>
      <x:c r="O8" s="21" t="str"/>
    </x:row>
    <x:row r="9" ht="42" customHeight="1">
      <x:c r="A9" s="18" t="str">
        <x:v>TC-UNIT-04</x:v>
      </x:c>
      <x:c r="B9" s="18" t="str">
        <x:v>FR-12</x:v>
      </x:c>
      <x:c r="C9" s="18" t="str">
        <x:v>Unit</x:v>
      </x:c>
      <x:c r="D9" s="18" t="str">
        <x:v>FEFO rule</x:v>
      </x:c>
      <x:c r="E9" s="18" t="str">
        <x:v>Choose earliest valid expiry batch</x:v>
      </x:c>
      <x:c r="F9" s="18" t="str">
        <x:v>Two valid batches exist</x:v>
      </x:c>
      <x:c r="G9" s="18" t="str">
        <x:v>Batch A expires first</x:v>
      </x:c>
      <x:c r="H9" s="18" t="str">
        <x:v>Batch A is recommended before Batch B</x:v>
      </x:c>
      <x:c r="I9" s="21" t="str">
        <x:v>Not executed</x:v>
      </x:c>
      <x:c r="J9" s="18" t="str">
        <x:v>Not Run</x:v>
      </x:c>
      <x:c r="K9" s="18" t="str">
        <x:v>High</x:v>
      </x:c>
      <x:c r="L9" s="21" t="str"/>
      <x:c r="M9" s="21" t="str"/>
      <x:c r="N9" s="21" t="str"/>
      <x:c r="O9" s="21" t="str"/>
    </x:row>
    <x:row r="10" ht="42" customHeight="1">
      <x:c r="A10" s="18" t="str">
        <x:v>TC-INT-01</x:v>
      </x:c>
      <x:c r="B10" s="18" t="str">
        <x:v>FR-05,FR-08</x:v>
      </x:c>
      <x:c r="C10" s="18" t="str">
        <x:v>Integration</x:v>
      </x:c>
      <x:c r="D10" s="18" t="str">
        <x:v>Purchase receiving</x:v>
      </x:c>
      <x:c r="E10" s="18" t="str">
        <x:v>Update purchase, batch and ledger atomically</x:v>
      </x:c>
      <x:c r="F10" s="18" t="str">
        <x:v>Valid supplier, batch and user</x:v>
      </x:c>
      <x:c r="G10" s="18" t="str">
        <x:v>Receive 20 units at $8.00</x:v>
      </x:c>
      <x:c r="H10" s="18" t="str">
        <x:v>Purchase is received; batch +20; ledger +20; one audit record</x:v>
      </x:c>
      <x:c r="I10" s="21" t="str">
        <x:v>Not executed</x:v>
      </x:c>
      <x:c r="J10" s="18" t="str">
        <x:v>Not Run</x:v>
      </x:c>
      <x:c r="K10" s="18" t="str">
        <x:v>Critical</x:v>
      </x:c>
      <x:c r="L10" s="21" t="str"/>
      <x:c r="M10" s="21" t="str"/>
      <x:c r="N10" s="21" t="str"/>
      <x:c r="O10" s="21" t="str"/>
    </x:row>
    <x:row r="11" ht="42" customHeight="1">
      <x:c r="A11" s="18" t="str">
        <x:v>TC-INT-02</x:v>
      </x:c>
      <x:c r="B11" s="18" t="str">
        <x:v>FR-06,FR-08</x:v>
      </x:c>
      <x:c r="C11" s="18" t="str">
        <x:v>Integration</x:v>
      </x:c>
      <x:c r="D11" s="18" t="str">
        <x:v>Sale posting</x:v>
      </x:c>
      <x:c r="E11" s="18" t="str">
        <x:v>Update invoice, batch and ledger atomically</x:v>
      </x:c>
      <x:c r="F11" s="18" t="str">
        <x:v>12 units available</x:v>
      </x:c>
      <x:c r="G11" s="18" t="str">
        <x:v>Sell 4 units at $24.50</x:v>
      </x:c>
      <x:c r="H11" s="18" t="str">
        <x:v>Invoice posted; batch becomes 8; ledger -4; audit created</x:v>
      </x:c>
      <x:c r="I11" s="21" t="str">
        <x:v>Not executed</x:v>
      </x:c>
      <x:c r="J11" s="18" t="str">
        <x:v>Not Run</x:v>
      </x:c>
      <x:c r="K11" s="18" t="str">
        <x:v>Critical</x:v>
      </x:c>
      <x:c r="L11" s="21" t="str"/>
      <x:c r="M11" s="21" t="str"/>
      <x:c r="N11" s="21" t="str"/>
      <x:c r="O11" s="21" t="str"/>
    </x:row>
    <x:row r="12" ht="42" customHeight="1">
      <x:c r="A12" s="18" t="str">
        <x:v>TC-INT-03</x:v>
      </x:c>
      <x:c r="B12" s="18" t="str">
        <x:v>FR-06,FR-07</x:v>
      </x:c>
      <x:c r="C12" s="18" t="str">
        <x:v>Integration</x:v>
      </x:c>
      <x:c r="D12" s="18" t="str">
        <x:v>Transaction rollback</x:v>
      </x:c>
      <x:c r="E12" s="18" t="str">
        <x:v>Prevent partial sale after a line fails</x:v>
      </x:c>
      <x:c r="F12" s="18" t="str">
        <x:v>Two-line sale; second is unavailable</x:v>
      </x:c>
      <x:c r="G12" s="18" t="str">
        <x:v>Post both lines</x:v>
      </x:c>
      <x:c r="H12" s="18" t="str">
        <x:v>Entire transaction rolls back; neither batch changes</x:v>
      </x:c>
      <x:c r="I12" s="21" t="str">
        <x:v>Not executed</x:v>
      </x:c>
      <x:c r="J12" s="18" t="str">
        <x:v>Not Run</x:v>
      </x:c>
      <x:c r="K12" s="18" t="str">
        <x:v>Critical</x:v>
      </x:c>
      <x:c r="L12" s="21" t="str"/>
      <x:c r="M12" s="21" t="str"/>
      <x:c r="N12" s="21" t="str"/>
      <x:c r="O12" s="21" t="str"/>
    </x:row>
    <x:row r="13" ht="42" customHeight="1">
      <x:c r="A13" s="18" t="str">
        <x:v>TC-INT-04</x:v>
      </x:c>
      <x:c r="B13" s="18" t="str">
        <x:v>NFR-04</x:v>
      </x:c>
      <x:c r="C13" s="18" t="str">
        <x:v>Integration</x:v>
      </x:c>
      <x:c r="D13" s="18" t="str">
        <x:v>Concurrency</x:v>
      </x:c>
      <x:c r="E13" s="18" t="str">
        <x:v>Prevent two clerks overselling same batch</x:v>
      </x:c>
      <x:c r="F13" s="18" t="str">
        <x:v>10 units; two sessions</x:v>
      </x:c>
      <x:c r="G13" s="18" t="str">
        <x:v>Both attempt to sell 8 simultaneously</x:v>
      </x:c>
      <x:c r="H13" s="18" t="str">
        <x:v>Only one succeeds; final stock is 2, never negative</x:v>
      </x:c>
      <x:c r="I13" s="21" t="str">
        <x:v>Not executed</x:v>
      </x:c>
      <x:c r="J13" s="18" t="str">
        <x:v>Not Run</x:v>
      </x:c>
      <x:c r="K13" s="18" t="str">
        <x:v>Critical</x:v>
      </x:c>
      <x:c r="L13" s="21" t="str"/>
      <x:c r="M13" s="21" t="str"/>
      <x:c r="N13" s="21" t="str"/>
      <x:c r="O13" s="21" t="str"/>
    </x:row>
    <x:row r="14" ht="42" customHeight="1">
      <x:c r="A14" s="18" t="str">
        <x:v>TC-SYS-01</x:v>
      </x:c>
      <x:c r="B14" s="18" t="str">
        <x:v>FR-01</x:v>
      </x:c>
      <x:c r="C14" s="18" t="str">
        <x:v>System</x:v>
      </x:c>
      <x:c r="D14" s="18" t="str">
        <x:v>Login and RBAC</x:v>
      </x:c>
      <x:c r="E14" s="18" t="str">
        <x:v>Allow only authorized active staff</x:v>
      </x:c>
      <x:c r="F14" s="18" t="str">
        <x:v>Active sales user and inactive user</x:v>
      </x:c>
      <x:c r="G14" s="18" t="str">
        <x:v>Sign in as each account</x:v>
      </x:c>
      <x:c r="H14" s="18" t="str">
        <x:v>Active user enters allowed screens; inactive user denied</x:v>
      </x:c>
      <x:c r="I14" s="21" t="str">
        <x:v>Not executed</x:v>
      </x:c>
      <x:c r="J14" s="18" t="str">
        <x:v>Not Run</x:v>
      </x:c>
      <x:c r="K14" s="18" t="str">
        <x:v>Critical</x:v>
      </x:c>
      <x:c r="L14" s="21" t="str"/>
      <x:c r="M14" s="21" t="str"/>
      <x:c r="N14" s="21" t="str"/>
      <x:c r="O14" s="21" t="str"/>
    </x:row>
    <x:row r="15" ht="42" customHeight="1">
      <x:c r="A15" s="18" t="str">
        <x:v>TC-SYS-02</x:v>
      </x:c>
      <x:c r="B15" s="18" t="str">
        <x:v>FR-02</x:v>
      </x:c>
      <x:c r="C15" s="18" t="str">
        <x:v>System</x:v>
      </x:c>
      <x:c r="D15" s="18" t="str">
        <x:v>Product search</x:v>
      </x:c>
      <x:c r="E15" s="18" t="str">
        <x:v>Find products by name, SKU or category</x:v>
      </x:c>
      <x:c r="F15" s="18" t="str">
        <x:v>Catalogue seeded</x:v>
      </x:c>
      <x:c r="G15" s="18" t="str">
        <x:v>Search amoxicillin, MED-001, antibiotics</x:v>
      </x:c>
      <x:c r="H15" s="18" t="str">
        <x:v>Same product appears for every matching term</x:v>
      </x:c>
      <x:c r="I15" s="21" t="str">
        <x:v>Not executed</x:v>
      </x:c>
      <x:c r="J15" s="18" t="str">
        <x:v>Not Run</x:v>
      </x:c>
      <x:c r="K15" s="18" t="str">
        <x:v>Medium</x:v>
      </x:c>
      <x:c r="L15" s="21" t="str"/>
      <x:c r="M15" s="21" t="str"/>
      <x:c r="N15" s="21" t="str"/>
      <x:c r="O15" s="21" t="str"/>
    </x:row>
    <x:row r="16" ht="42" customHeight="1">
      <x:c r="A16" s="18" t="str">
        <x:v>TC-SYS-03</x:v>
      </x:c>
      <x:c r="B16" s="18" t="str">
        <x:v>FR-09</x:v>
      </x:c>
      <x:c r="C16" s="18" t="str">
        <x:v>System</x:v>
      </x:c>
      <x:c r="D16" s="18" t="str">
        <x:v>Low-stock alert</x:v>
      </x:c>
      <x:c r="E16" s="18" t="str">
        <x:v>Create alert at configured threshold</x:v>
      </x:c>
      <x:c r="F16" s="18" t="str">
        <x:v>Reorder level 25</x:v>
      </x:c>
      <x:c r="G16" s="18" t="str">
        <x:v>Reduce stock from 26 to 25</x:v>
      </x:c>
      <x:c r="H16" s="18" t="str">
        <x:v>Item appears in prioritised low-stock list</x:v>
      </x:c>
      <x:c r="I16" s="21" t="str">
        <x:v>Not executed</x:v>
      </x:c>
      <x:c r="J16" s="18" t="str">
        <x:v>Not Run</x:v>
      </x:c>
      <x:c r="K16" s="18" t="str">
        <x:v>High</x:v>
      </x:c>
      <x:c r="L16" s="21" t="str"/>
      <x:c r="M16" s="21" t="str"/>
      <x:c r="N16" s="21" t="str"/>
      <x:c r="O16" s="21" t="str"/>
    </x:row>
    <x:row r="17" ht="42" customHeight="1">
      <x:c r="A17" s="18" t="str">
        <x:v>TC-SYS-04</x:v>
      </x:c>
      <x:c r="B17" s="18" t="str">
        <x:v>FR-09,FR-12</x:v>
      </x:c>
      <x:c r="C17" s="18" t="str">
        <x:v>System</x:v>
      </x:c>
      <x:c r="D17" s="18" t="str">
        <x:v>Expiry safety</x:v>
      </x:c>
      <x:c r="E17" s="18" t="str">
        <x:v>Block fulfilment from expired batch</x:v>
      </x:c>
      <x:c r="F17" s="18" t="str">
        <x:v>Expired batch has quantity</x:v>
      </x:c>
      <x:c r="G17" s="18" t="str">
        <x:v>Attempt sale from expired batch</x:v>
      </x:c>
      <x:c r="H17" s="18" t="str">
        <x:v>Sale blocked; batch excluded from FEFO availability</x:v>
      </x:c>
      <x:c r="I17" s="21" t="str">
        <x:v>Not executed</x:v>
      </x:c>
      <x:c r="J17" s="18" t="str">
        <x:v>Not Run</x:v>
      </x:c>
      <x:c r="K17" s="18" t="str">
        <x:v>Critical</x:v>
      </x:c>
      <x:c r="L17" s="21" t="str"/>
      <x:c r="M17" s="21" t="str"/>
      <x:c r="N17" s="21" t="str"/>
      <x:c r="O17" s="21" t="str"/>
    </x:row>
    <x:row r="18" ht="42" customHeight="1">
      <x:c r="A18" s="18" t="str">
        <x:v>TC-SYS-05</x:v>
      </x:c>
      <x:c r="B18" s="18" t="str">
        <x:v>FR-10</x:v>
      </x:c>
      <x:c r="C18" s="18" t="str">
        <x:v>System</x:v>
      </x:c>
      <x:c r="D18" s="18" t="str">
        <x:v>Monthly report</x:v>
      </x:c>
      <x:c r="E18" s="18" t="str">
        <x:v>Reconcile report with transactions</x:v>
      </x:c>
      <x:c r="F18" s="18" t="str">
        <x:v>Known purchases/sales in month</x:v>
      </x:c>
      <x:c r="G18" s="18" t="str">
        <x:v>Generate monthly report</x:v>
      </x:c>
      <x:c r="H18" s="18" t="str">
        <x:v>Totals match posted records; cancelled drafts excluded</x:v>
      </x:c>
      <x:c r="I18" s="21" t="str">
        <x:v>Not executed</x:v>
      </x:c>
      <x:c r="J18" s="18" t="str">
        <x:v>Not Run</x:v>
      </x:c>
      <x:c r="K18" s="18" t="str">
        <x:v>High</x:v>
      </x:c>
      <x:c r="L18" s="21" t="str"/>
      <x:c r="M18" s="21" t="str"/>
      <x:c r="N18" s="21" t="str"/>
      <x:c r="O18" s="21" t="str"/>
    </x:row>
    <x:row r="19" ht="42" customHeight="1">
      <x:c r="A19" s="18" t="str">
        <x:v>TC-SYS-06</x:v>
      </x:c>
      <x:c r="B19" s="18" t="str">
        <x:v>FR-11</x:v>
      </x:c>
      <x:c r="C19" s="18" t="str">
        <x:v>System</x:v>
      </x:c>
      <x:c r="D19" s="18" t="str">
        <x:v>Audit log</x:v>
      </x:c>
      <x:c r="E19" s="18" t="str">
        <x:v>Trace financial and security changes</x:v>
      </x:c>
      <x:c r="F19" s="18" t="str">
        <x:v>Authorized user available</x:v>
      </x:c>
      <x:c r="G19" s="18" t="str">
        <x:v>Post sale then view audit</x:v>
      </x:c>
      <x:c r="H19" s="18" t="str">
        <x:v>Actor, time, action, entity and details are visible</x:v>
      </x:c>
      <x:c r="I19" s="21" t="str">
        <x:v>Not executed</x:v>
      </x:c>
      <x:c r="J19" s="18" t="str">
        <x:v>Not Run</x:v>
      </x:c>
      <x:c r="K19" s="18" t="str">
        <x:v>High</x:v>
      </x:c>
      <x:c r="L19" s="21" t="str"/>
      <x:c r="M19" s="21" t="str"/>
      <x:c r="N19" s="21" t="str"/>
      <x:c r="O19" s="21" t="str"/>
    </x:row>
    <x:row r="20" ht="42" customHeight="1">
      <x:c r="A20" s="18" t="str">
        <x:v>TC-SEC-01</x:v>
      </x:c>
      <x:c r="B20" s="18" t="str">
        <x:v>NFR-03</x:v>
      </x:c>
      <x:c r="C20" s="18" t="str">
        <x:v>System</x:v>
      </x:c>
      <x:c r="D20" s="18" t="str">
        <x:v>Authorization</x:v>
      </x:c>
      <x:c r="E20" s="18" t="str">
        <x:v>Deny sales officer from user administration</x:v>
      </x:c>
      <x:c r="F20" s="18" t="str">
        <x:v>Sales Officer signed in</x:v>
      </x:c>
      <x:c r="G20" s="18" t="str">
        <x:v>Open user-management URL/API</x:v>
      </x:c>
      <x:c r="H20" s="18" t="str">
        <x:v>403 response and denied UI; attempt is logged</x:v>
      </x:c>
      <x:c r="I20" s="21" t="str">
        <x:v>Not executed</x:v>
      </x:c>
      <x:c r="J20" s="18" t="str">
        <x:v>Not Run</x:v>
      </x:c>
      <x:c r="K20" s="18" t="str">
        <x:v>Critical</x:v>
      </x:c>
      <x:c r="L20" s="21" t="str"/>
      <x:c r="M20" s="21" t="str"/>
      <x:c r="N20" s="21" t="str"/>
      <x:c r="O20" s="21" t="str"/>
    </x:row>
    <x:row r="21" ht="42" customHeight="1">
      <x:c r="A21" s="18" t="str">
        <x:v>TC-PERF-01</x:v>
      </x:c>
      <x:c r="B21" s="18" t="str">
        <x:v>NFR-01</x:v>
      </x:c>
      <x:c r="C21" s="18" t="str">
        <x:v>System</x:v>
      </x:c>
      <x:c r="D21" s="18" t="str">
        <x:v>Performance</x:v>
      </x:c>
      <x:c r="E21" s="18" t="str">
        <x:v>Meet normal read response target</x:v>
      </x:c>
      <x:c r="F21" s="18" t="str">
        <x:v>Production-like dataset</x:v>
      </x:c>
      <x:c r="G21" s="18" t="str">
        <x:v>100 concurrent users for product search</x:v>
      </x:c>
      <x:c r="H21" s="18" t="str">
        <x:v>At least 95% of responses complete within 2 seconds</x:v>
      </x:c>
      <x:c r="I21" s="21" t="str">
        <x:v>Not executed</x:v>
      </x:c>
      <x:c r="J21" s="18" t="str">
        <x:v>Not Run</x:v>
      </x:c>
      <x:c r="K21" s="18" t="str">
        <x:v>High</x:v>
      </x:c>
      <x:c r="L21" s="21" t="str"/>
      <x:c r="M21" s="21" t="str"/>
      <x:c r="N21" s="21" t="str"/>
      <x:c r="O21" s="21" t="str"/>
    </x:row>
    <x:row r="22" ht="42" customHeight="1">
      <x:c r="A22" s="18" t="str">
        <x:v>TC-A11Y-01</x:v>
      </x:c>
      <x:c r="B22" s="18" t="str">
        <x:v>NFR-07</x:v>
      </x:c>
      <x:c r="C22" s="18" t="str">
        <x:v>System</x:v>
      </x:c>
      <x:c r="D22" s="18" t="str">
        <x:v>Accessibility</x:v>
      </x:c>
      <x:c r="E22" s="18" t="str">
        <x:v>Operate primary flow by keyboard</x:v>
      </x:c>
      <x:c r="F22" s="18" t="str">
        <x:v>Dashboard loaded</x:v>
      </x:c>
      <x:c r="G22" s="18" t="str">
        <x:v>Tab, open sale, complete, submit</x:v>
      </x:c>
      <x:c r="H22" s="18" t="str">
        <x:v>Logical focus; visible indicator; every field labelled</x:v>
      </x:c>
      <x:c r="I22" s="21" t="str">
        <x:v>Not executed</x:v>
      </x:c>
      <x:c r="J22" s="18" t="str">
        <x:v>Not Run</x:v>
      </x:c>
      <x:c r="K22" s="18" t="str">
        <x:v>High</x:v>
      </x:c>
      <x:c r="L22" s="21" t="str"/>
      <x:c r="M22" s="21" t="str"/>
      <x:c r="N22" s="21" t="str"/>
      <x:c r="O22" s="21" t="str"/>
    </x:row>
    <x:row r="23" ht="42" customHeight="1">
      <x:c r="A23" s="18" t="str">
        <x:v>TC-REC-01</x:v>
      </x:c>
      <x:c r="B23" s="18" t="str">
        <x:v>NFR-05</x:v>
      </x:c>
      <x:c r="C23" s="18" t="str">
        <x:v>System</x:v>
      </x:c>
      <x:c r="D23" s="18" t="str">
        <x:v>Backup recovery</x:v>
      </x:c>
      <x:c r="E23" s="18" t="str">
        <x:v>Restore a usable database within target</x:v>
      </x:c>
      <x:c r="F23" s="18" t="str">
        <x:v>Encrypted backup and clean environment</x:v>
      </x:c>
      <x:c r="G23" s="18" t="str">
        <x:v>Perform documented restore</x:v>
      </x:c>
      <x:c r="H23" s="18" t="str">
        <x:v>Data reconciles; RTO ≤4h and RPO ≤24h</x:v>
      </x:c>
      <x:c r="I23" s="21" t="str">
        <x:v>Not executed</x:v>
      </x:c>
      <x:c r="J23" s="18" t="str">
        <x:v>Not Run</x:v>
      </x:c>
      <x:c r="K23" s="18" t="str">
        <x:v>Critical</x:v>
      </x:c>
      <x:c r="L23" s="21" t="str"/>
      <x:c r="M23" s="21" t="str"/>
      <x:c r="N23" s="21" t="str"/>
      <x:c r="O23" s="21" t="str"/>
    </x:row>
    <x:row r="24" ht="42" customHeight="1">
      <x:c r="A24" s="18" t="str">
        <x:v>TC-UAT-01</x:v>
      </x:c>
      <x:c r="B24" s="18" t="str">
        <x:v>FR-06,NFR-06</x:v>
      </x:c>
      <x:c r="C24" s="18" t="str">
        <x:v>UAT</x:v>
      </x:c>
      <x:c r="D24" s="18" t="str">
        <x:v>Standard sale</x:v>
      </x:c>
      <x:c r="E24" s="18" t="str">
        <x:v>Let sales clerk complete normal sale quickly</x:v>
      </x:c>
      <x:c r="F24" s="18" t="str">
        <x:v>Trained clerk; product/customer available</x:v>
      </x:c>
      <x:c r="G24" s="18" t="str">
        <x:v>Find item, sell 2, issue invoice</x:v>
      </x:c>
      <x:c r="H24" s="18" t="str">
        <x:v>Correct invoice and stock update completed in ≤90 seconds</x:v>
      </x:c>
      <x:c r="I24" s="21" t="str">
        <x:v>Not executed</x:v>
      </x:c>
      <x:c r="J24" s="18" t="str">
        <x:v>Not Run</x:v>
      </x:c>
      <x:c r="K24" s="18" t="str">
        <x:v>High</x:v>
      </x:c>
      <x:c r="L24" s="21" t="str"/>
      <x:c r="M24" s="21" t="str"/>
      <x:c r="N24" s="21" t="str"/>
      <x:c r="O24" s="21" t="str"/>
    </x:row>
    <x:row r="25" ht="42" customHeight="1">
      <x:c r="A25" s="19" t="str">
        <x:v>TC-UAT-02</x:v>
      </x:c>
      <x:c r="B25" s="19" t="str">
        <x:v>FR-05,NFR-06</x:v>
      </x:c>
      <x:c r="C25" s="19" t="str">
        <x:v>UAT</x:v>
      </x:c>
      <x:c r="D25" s="19" t="str">
        <x:v>Purchase receipt</x:v>
      </x:c>
      <x:c r="E25" s="19" t="str">
        <x:v>Let inventory clerk receive supplier delivery</x:v>
      </x:c>
      <x:c r="F25" s="19" t="str">
        <x:v>Purchase and batch available</x:v>
      </x:c>
      <x:c r="G25" s="19" t="str">
        <x:v>Receive 50 units and verify stock</x:v>
      </x:c>
      <x:c r="H25" s="19" t="str">
        <x:v>Clerk completes without assistance; exact quantity visible</x:v>
      </x:c>
      <x:c r="I25" s="22" t="str">
        <x:v>Not executed</x:v>
      </x:c>
      <x:c r="J25" s="19" t="str">
        <x:v>Not Run</x:v>
      </x:c>
      <x:c r="K25" s="19" t="str">
        <x:v>High</x:v>
      </x:c>
      <x:c r="L25" s="22" t="str"/>
      <x:c r="M25" s="22" t="str"/>
      <x:c r="N25" s="22" t="str"/>
      <x:c r="O25" s="22" t="str"/>
    </x:row>
  </x:sheetData>
  <x:mergeCells>
    <x:mergeCell ref="A1:O1"/>
    <x:mergeCell ref="A2:B2"/>
    <x:mergeCell ref="E2:F2"/>
    <x:mergeCell ref="I2:J2"/>
    <x:mergeCell ref="M2:O2"/>
  </x:mergeCells>
  <x:conditionalFormatting sqref="J6:J2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</x:conditionalFormatting>
  <x:conditionalFormatting sqref="K6:K25">
    <x:cfRule type="containsText" dxfId="3" priority="4" operator="containsText" text="Critical"/>
  </x:conditionalFormatting>
  <x:dataValidations count="2">
    <x:dataValidation type="list" sqref="J6:J25">
      <x:formula1>"Not Run,Pass,Fail,Blocked"</x:formula1>
    </x:dataValidation>
    <x:dataValidation type="list" sqref="K6:K2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e7358c47b041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4" max="4" width="16" hidden="0" customWidth="1"/>
    <x:col min="5" max="5" width="26" hidden="0" customWidth="1"/>
    <x:col min="6" max="6" width="31" hidden="0" customWidth="1"/>
    <x:col min="7" max="7" width="14" hidden="0" customWidth="1"/>
  </x:cols>
  <x:sheetData>
    <x:row r="1" ht="34" customHeight="1">
      <x:c r="A1" s="3" t="str">
        <x:v>Requirements Traceability Summary</x:v>
      </x:c>
      <x:c r="B1" s="3"/>
      <x:c r="C1" s="3"/>
      <x:c r="D1" s="3"/>
      <x:c r="E1" s="3"/>
      <x:c r="F1" s="3"/>
      <x:c r="G1" s="3"/>
    </x:row>
    <x:row r="4">
      <x:c r="A4" s="25" t="str">
        <x:v>Test level</x:v>
      </x:c>
      <x:c r="B4" s="25" t="str">
        <x:v>Planned count</x:v>
      </x:c>
      <x:c r="D4" s="31" t="str">
        <x:v>Requirement</x:v>
      </x:c>
      <x:c r="E4" s="31" t="str">
        <x:v>Description</x:v>
      </x:c>
      <x:c r="F4" s="31" t="str">
        <x:v>Mapped tests</x:v>
      </x:c>
      <x:c r="G4" s="31" t="str">
        <x:v>Coverage</x:v>
      </x:c>
    </x:row>
    <x:row r="5" ht="28" customHeight="1">
      <x:c r="A5" s="26" t="str">
        <x:v>Unit</x:v>
      </x:c>
      <x:c r="B5" s="26" t="n">
        <x:f>COUNTIF('Test Matrix'!$C$6:$C$25,A5)</x:f>
        <x:v>4</x:v>
      </x:c>
      <x:c r="D5" s="32" t="str">
        <x:v>FR-01</x:v>
      </x:c>
      <x:c r="E5" s="32" t="str">
        <x:v>Authentication and RBAC</x:v>
      </x:c>
      <x:c r="F5" s="32" t="str">
        <x:v>TC-SYS-01, TC-SEC-01</x:v>
      </x:c>
      <x:c r="G5" s="36" t="str">
        <x:v>Covered</x:v>
      </x:c>
    </x:row>
    <x:row r="6" ht="28" customHeight="1">
      <x:c r="A6" s="26" t="str">
        <x:v>Integration</x:v>
      </x:c>
      <x:c r="B6" s="26" t="n">
        <x:f>COUNTIF('Test Matrix'!$C$6:$C$25,A6)</x:f>
        <x:v>4</x:v>
      </x:c>
      <x:c r="D6" s="32" t="str">
        <x:v>FR-02</x:v>
      </x:c>
      <x:c r="E6" s="32" t="str">
        <x:v>Products and batches</x:v>
      </x:c>
      <x:c r="F6" s="32" t="str">
        <x:v>TC-UNIT-03, TC-SYS-02</x:v>
      </x:c>
      <x:c r="G6" s="36" t="str">
        <x:v>Covered</x:v>
      </x:c>
    </x:row>
    <x:row r="7" ht="28" customHeight="1">
      <x:c r="A7" s="26" t="str">
        <x:v>System</x:v>
      </x:c>
      <x:c r="B7" s="26" t="n">
        <x:f>COUNTIF('Test Matrix'!$C$6:$C$25,A7)</x:f>
        <x:v>10</x:v>
      </x:c>
      <x:c r="D7" s="32" t="str">
        <x:v>FR-05</x:v>
      </x:c>
      <x:c r="E7" s="32" t="str">
        <x:v>Purchase receiving</x:v>
      </x:c>
      <x:c r="F7" s="32" t="str">
        <x:v>TC-INT-01, TC-UAT-02</x:v>
      </x:c>
      <x:c r="G7" s="36" t="str">
        <x:v>Covered</x:v>
      </x:c>
    </x:row>
    <x:row r="8" ht="28" customHeight="1">
      <x:c r="A8" s="26" t="str">
        <x:v>UAT</x:v>
      </x:c>
      <x:c r="B8" s="26" t="n">
        <x:f>COUNTIF('Test Matrix'!$C$6:$C$25,A8)</x:f>
        <x:v>2</x:v>
      </x:c>
      <x:c r="D8" s="32" t="str">
        <x:v>FR-06</x:v>
      </x:c>
      <x:c r="E8" s="32" t="str">
        <x:v>Sales and invoices</x:v>
      </x:c>
      <x:c r="F8" s="32" t="str">
        <x:v>TC-INT-02, TC-INT-03, TC-UAT-01</x:v>
      </x:c>
      <x:c r="G8" s="36" t="str">
        <x:v>Covered</x:v>
      </x:c>
    </x:row>
    <x:row r="9" ht="28" customHeight="1">
      <x:c r="A9" s="26" t="str">
        <x:v>Security subset</x:v>
      </x:c>
      <x:c r="B9" s="26" t="n">
        <x:f>COUNTIF('Test Matrix'!$A$6:$A$25,"TC-SEC-*")</x:f>
        <x:v>0</x:v>
      </x:c>
      <x:c r="D9" s="32" t="str">
        <x:v>FR-07</x:v>
      </x:c>
      <x:c r="E9" s="32" t="str">
        <x:v>Prevent invalid stock</x:v>
      </x:c>
      <x:c r="F9" s="32" t="str">
        <x:v>TC-UNIT-01, TC-UNIT-02, TC-INT-03</x:v>
      </x:c>
      <x:c r="G9" s="36" t="str">
        <x:v>Covered</x:v>
      </x:c>
    </x:row>
    <x:row r="10" ht="28" customHeight="1">
      <x:c r="A10" s="27" t="str">
        <x:v>Critical priority</x:v>
      </x:c>
      <x:c r="B10" s="27" t="n">
        <x:f>COUNTIF('Test Matrix'!$K$6:$K$25,"Critical")</x:f>
        <x:v>10</x:v>
      </x:c>
      <x:c r="D10" s="32" t="str">
        <x:v>FR-08</x:v>
      </x:c>
      <x:c r="E10" s="32" t="str">
        <x:v>Inventory ledger</x:v>
      </x:c>
      <x:c r="F10" s="32" t="str">
        <x:v>TC-INT-01, TC-INT-02</x:v>
      </x:c>
      <x:c r="G10" s="36" t="str">
        <x:v>Covered</x:v>
      </x:c>
    </x:row>
    <x:row r="11" ht="28" customHeight="1">
      <x:c r="D11" s="32" t="str">
        <x:v>FR-09</x:v>
      </x:c>
      <x:c r="E11" s="32" t="str">
        <x:v>Alerts</x:v>
      </x:c>
      <x:c r="F11" s="32" t="str">
        <x:v>TC-SYS-03, TC-SYS-04</x:v>
      </x:c>
      <x:c r="G11" s="36" t="str">
        <x:v>Covered</x:v>
      </x:c>
    </x:row>
    <x:row r="12" ht="28" customHeight="1">
      <x:c r="D12" s="32" t="str">
        <x:v>FR-10</x:v>
      </x:c>
      <x:c r="E12" s="32" t="str">
        <x:v>Reports</x:v>
      </x:c>
      <x:c r="F12" s="32" t="str">
        <x:v>TC-SYS-05</x:v>
      </x:c>
      <x:c r="G12" s="36" t="str">
        <x:v>Covered</x:v>
      </x:c>
    </x:row>
    <x:row r="13" ht="28" customHeight="1">
      <x:c r="D13" s="32" t="str">
        <x:v>FR-11</x:v>
      </x:c>
      <x:c r="E13" s="32" t="str">
        <x:v>Audit changes</x:v>
      </x:c>
      <x:c r="F13" s="32" t="str">
        <x:v>TC-SYS-06</x:v>
      </x:c>
      <x:c r="G13" s="36" t="str">
        <x:v>Covered</x:v>
      </x:c>
    </x:row>
    <x:row r="14" ht="28" customHeight="1">
      <x:c r="D14" s="32" t="str">
        <x:v>FR-12</x:v>
      </x:c>
      <x:c r="E14" s="32" t="str">
        <x:v>FEFO</x:v>
      </x:c>
      <x:c r="F14" s="32" t="str">
        <x:v>TC-UNIT-04, TC-SYS-04</x:v>
      </x:c>
      <x:c r="G14" s="36" t="str">
        <x:v>Covered</x:v>
      </x:c>
    </x:row>
    <x:row r="15" ht="28" customHeight="1">
      <x:c r="D15" s="32" t="str">
        <x:v>NFR-01</x:v>
      </x:c>
      <x:c r="E15" s="32" t="str">
        <x:v>Performance</x:v>
      </x:c>
      <x:c r="F15" s="32" t="str">
        <x:v>TC-PERF-01</x:v>
      </x:c>
      <x:c r="G15" s="36" t="str">
        <x:v>Covered</x:v>
      </x:c>
    </x:row>
    <x:row r="16" ht="28" customHeight="1">
      <x:c r="D16" s="32" t="str">
        <x:v>NFR-03</x:v>
      </x:c>
      <x:c r="E16" s="32" t="str">
        <x:v>Security</x:v>
      </x:c>
      <x:c r="F16" s="32" t="str">
        <x:v>TC-SEC-01</x:v>
      </x:c>
      <x:c r="G16" s="36" t="str">
        <x:v>Covered</x:v>
      </x:c>
    </x:row>
    <x:row r="17" ht="28" customHeight="1">
      <x:c r="D17" s="32" t="str">
        <x:v>NFR-04</x:v>
      </x:c>
      <x:c r="E17" s="32" t="str">
        <x:v>Integrity</x:v>
      </x:c>
      <x:c r="F17" s="32" t="str">
        <x:v>TC-INT-04</x:v>
      </x:c>
      <x:c r="G17" s="36" t="str">
        <x:v>Covered</x:v>
      </x:c>
    </x:row>
    <x:row r="18" ht="28" customHeight="1">
      <x:c r="D18" s="32" t="str">
        <x:v>NFR-05</x:v>
      </x:c>
      <x:c r="E18" s="32" t="str">
        <x:v>Recovery</x:v>
      </x:c>
      <x:c r="F18" s="32" t="str">
        <x:v>TC-REC-01</x:v>
      </x:c>
      <x:c r="G18" s="36" t="str">
        <x:v>Covered</x:v>
      </x:c>
    </x:row>
    <x:row r="19" ht="28" customHeight="1">
      <x:c r="D19" s="33" t="str">
        <x:v>NFR-07</x:v>
      </x:c>
      <x:c r="E19" s="33" t="str">
        <x:v>Accessibility</x:v>
      </x:c>
      <x:c r="F19" s="33" t="str">
        <x:v>TC-A11Y-01</x:v>
      </x:c>
      <x:c r="G19" s="37" t="str">
        <x:v>Covered</x:v>
      </x:c>
    </x:row>
  </x:sheetData>
  <x:mergeCells>
    <x:mergeCell ref="A1:G1"/>
  </x:mergeCells>
  <x:pageMargins left="0.7" right="0.7" top="0.75" bottom="0.75" header="0.3" footer="0.3"/>
</x:worksheet>
</file>